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11_F2C9A1658486BFE2A9750E7E4BC05CAE90FBDB2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op 25 Rankings Data" sheetId="1" r:id="rId1"/>
    <sheet name="Methodology &amp; Data Sources" sheetId="2" r:id="rId2"/>
    <sheet name="Study Analysis Framework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B10" i="2"/>
  <c r="J30" i="1"/>
  <c r="I30" i="1"/>
  <c r="H30" i="1"/>
  <c r="G30" i="1"/>
  <c r="F30" i="1"/>
  <c r="E30" i="1"/>
  <c r="D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30" i="1" s="1"/>
</calcChain>
</file>

<file path=xl/sharedStrings.xml><?xml version="1.0" encoding="utf-8"?>
<sst xmlns="http://schemas.openxmlformats.org/spreadsheetml/2006/main" count="110" uniqueCount="107">
  <si>
    <t>Indeed's Best Cities for Work 2026 - Master Study Dataset</t>
  </si>
  <si>
    <t>Data Source: Indeed Hiring Lab (August 2026) | Ranks 228 US Metros (&gt;200k pop.) Across 6 Key Pillars (40 Scored Metrics)</t>
  </si>
  <si>
    <t>Overall Rank</t>
  </si>
  <si>
    <t>Metropolitan Area</t>
  </si>
  <si>
    <t>State(s)</t>
  </si>
  <si>
    <t>Population</t>
  </si>
  <si>
    <t>Job Opportunity Rank</t>
  </si>
  <si>
    <t>Compensation Rank</t>
  </si>
  <si>
    <t>Job Quality &amp; Security Rank</t>
  </si>
  <si>
    <t>Career Mobility &amp; Dynamism Rank</t>
  </si>
  <si>
    <t>Work-Life &amp; Flexibility Rank</t>
  </si>
  <si>
    <t>Economic Opportunity Rank</t>
  </si>
  <si>
    <t>Average Pillar Rank</t>
  </si>
  <si>
    <t>Boston–Cambridge–Newton</t>
  </si>
  <si>
    <t>MA, NH</t>
  </si>
  <si>
    <t>Washington–Arlington–Alexandria</t>
  </si>
  <si>
    <t>DC, VA, MD, WV</t>
  </si>
  <si>
    <t>Burlington–South Burlington</t>
  </si>
  <si>
    <t>VT</t>
  </si>
  <si>
    <t>San Jose–Sunnyvale–Santa Clara</t>
  </si>
  <si>
    <t>CA</t>
  </si>
  <si>
    <t>San Francisco–Oakland–Fremont</t>
  </si>
  <si>
    <t>Madison</t>
  </si>
  <si>
    <t>WI</t>
  </si>
  <si>
    <t>Rochester</t>
  </si>
  <si>
    <t>MN</t>
  </si>
  <si>
    <t>Seattle–Tacoma–Bellevue</t>
  </si>
  <si>
    <t>WA</t>
  </si>
  <si>
    <t>Austin–Round Rock–San Marcos</t>
  </si>
  <si>
    <t>TX</t>
  </si>
  <si>
    <t>Charlottesville</t>
  </si>
  <si>
    <t>VA</t>
  </si>
  <si>
    <t>Fargo</t>
  </si>
  <si>
    <t>ND, MN</t>
  </si>
  <si>
    <t>Omaha</t>
  </si>
  <si>
    <t>NE, IA</t>
  </si>
  <si>
    <t>Albany–Schenectady–Troy</t>
  </si>
  <si>
    <t>NY</t>
  </si>
  <si>
    <t>Cedar Rapids</t>
  </si>
  <si>
    <t>IA</t>
  </si>
  <si>
    <t>Minneapolis–St. Paul–Bloomington</t>
  </si>
  <si>
    <t>MN, WI</t>
  </si>
  <si>
    <t>Ann Arbor</t>
  </si>
  <si>
    <t>MI</t>
  </si>
  <si>
    <t>Denver–Aurora–Centennial</t>
  </si>
  <si>
    <t>CO</t>
  </si>
  <si>
    <t>Urban Honolulu</t>
  </si>
  <si>
    <t>HI</t>
  </si>
  <si>
    <t>Boulder</t>
  </si>
  <si>
    <t>Syracuse</t>
  </si>
  <si>
    <t>Baltimore–Columbia–Towson</t>
  </si>
  <si>
    <t>MD</t>
  </si>
  <si>
    <t>Durham–Chapel Hill</t>
  </si>
  <si>
    <t>NC</t>
  </si>
  <si>
    <t>Manchester–Nashua</t>
  </si>
  <si>
    <t>NH</t>
  </si>
  <si>
    <t>Columbus</t>
  </si>
  <si>
    <t>OH</t>
  </si>
  <si>
    <t>Sioux Falls</t>
  </si>
  <si>
    <t>SD, MN</t>
  </si>
  <si>
    <t>Average / Summary</t>
  </si>
  <si>
    <t>Indeed Best Cities for Work 2026 Index Methodology</t>
  </si>
  <si>
    <t>Pillar Name</t>
  </si>
  <si>
    <t>Index Weight</t>
  </si>
  <si>
    <t>Scored Metrics Count</t>
  </si>
  <si>
    <t>Core Research Question / Focus</t>
  </si>
  <si>
    <t>Primary Data Sources</t>
  </si>
  <si>
    <t>Job Opportunity</t>
  </si>
  <si>
    <t>Can I find a job here? Measures job posting growth, posting density per capita, and recovery vs. pre-pandemic baseline.</t>
  </si>
  <si>
    <t>Indeed Hiring Lab Job Postings Index</t>
  </si>
  <si>
    <t>Compensation</t>
  </si>
  <si>
    <t>Will I earn enough to build a good life? Measures tax/COL-adjusted posted median wages, local purchasing power, and wage growth.</t>
  </si>
  <si>
    <t>Indeed Hiring Lab, NBER TAXSIM, BEA Regional Price Parities</t>
  </si>
  <si>
    <t>Job Quality &amp; Security</t>
  </si>
  <si>
    <t>Is the job stable and secure? Measures job stability, separation risk, industry diversification, health coverage, and legal worker protections.</t>
  </si>
  <si>
    <t>BLS QCEW, Census ACS, Indeed Research</t>
  </si>
  <si>
    <t>Career Mobility &amp; Dynamism</t>
  </si>
  <si>
    <t>Can I move up or change careers easily? Measures upward mobility, economic dynamism, industry transitions, and skill advancement.</t>
  </si>
  <si>
    <t>Census Longitudinal Employer-Household Dynamics (LEHD), Opportunity Insights</t>
  </si>
  <si>
    <t>Work-Life &amp; Flexibility</t>
  </si>
  <si>
    <t>What will life look like outside of work? Measures remote/hybrid flexibility, commute times, walkability, broadband, housing affordability, amenities.</t>
  </si>
  <si>
    <t>FCC Broadband Data, EPA Walkability Index, CNT H+T Index, BLS QCEW</t>
  </si>
  <si>
    <t>Economic Opportunity</t>
  </si>
  <si>
    <t>Does the city work for everyone? Measures gender and racial employment/pay gaps, working-poverty rates, and experience returns.</t>
  </si>
  <si>
    <t>US Census Bureau American Community Survey (ACS)</t>
  </si>
  <si>
    <t>Total</t>
  </si>
  <si>
    <t>Study &amp; Research Framework: Analyzing Urban Labor Market Success</t>
  </si>
  <si>
    <t>Research Area</t>
  </si>
  <si>
    <t>Key Analytical Questions</t>
  </si>
  <si>
    <t>Suggested Excel Variables / Formulas</t>
  </si>
  <si>
    <t>Potential Policy / Strategic Insights</t>
  </si>
  <si>
    <t>Population &amp; Market Scale Effect</t>
  </si>
  <si>
    <t>Do larger metropolitan areas (e.g., &gt;3M pop) offer superior compensation and mobility compared to mid-sized college/innovation towns?</t>
  </si>
  <si>
    <t>CORREL(Population, Compensation_Rank), CORREL(Population, Mobility_Rank)</t>
  </si>
  <si>
    <t>Assessing agglomeration economies vs. quality-of-life trade-offs in mid-sized hubs.</t>
  </si>
  <si>
    <t>Eds &amp; Meds Hub Performance</t>
  </si>
  <si>
    <t>How do innovation/university-anchored towns (e.g., Madison, Ann Arbor, Charlottesville, Burlington) perform in Job Quality vs Compensation?</t>
  </si>
  <si>
    <t>RANK analysis of university metros; CORREL(Opportunity_Rank, Quality_Rank)</t>
  </si>
  <si>
    <t>Evaluating economic resilience driven by institutional employment anchors.</t>
  </si>
  <si>
    <t>Comp vs Work-Life Tradeoff</t>
  </si>
  <si>
    <t>Is there a strong negative correlation between high compensation ranks and work-life/flexibility scores?</t>
  </si>
  <si>
    <t>CORREL(Compensation_Rank, Work_Life_Rank)</t>
  </si>
  <si>
    <t>Determining if top salary markets suffer from higher living costs and longer commutes.</t>
  </si>
  <si>
    <t>Equity &amp; Inclusive Growth</t>
  </si>
  <si>
    <t>Which top-performing metros achieve both high overall rankings and strong Economic Opportunity (equity)?</t>
  </si>
  <si>
    <t>FILTER(Metros, Rank&lt;=10 AND Economic_Opportunity_Rank&lt;=10)</t>
  </si>
  <si>
    <t>Identifying model cities that combine economic dynamism with broad demographic equity.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</si>
</sst>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ECF0F1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7F9FA"/>
        <bgColor rgb="FFF7F9FA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3" fontId="4" fillId="5" borderId="1" xfId="0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3" fontId="5" fillId="0" borderId="2" xfId="0" applyNumberFormat="1" applyFont="1" applyBorder="1"/>
    <xf numFmtId="164" fontId="5" fillId="0" borderId="2" xfId="0" applyNumberFormat="1" applyFont="1" applyBorder="1" applyAlignment="1">
      <alignment horizontal="right"/>
    </xf>
    <xf numFmtId="0" fontId="3" fillId="3" borderId="0" xfId="0" applyFont="1" applyFill="1"/>
    <xf numFmtId="0" fontId="4" fillId="0" borderId="1" xfId="0" applyFont="1" applyBorder="1" applyAlignment="1">
      <alignment horizontal="left"/>
    </xf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3" xfId="0" applyFont="1" applyBorder="1"/>
    <xf numFmtId="165" fontId="5" fillId="0" borderId="3" xfId="0" applyNumberFormat="1" applyFont="1" applyBorder="1"/>
    <xf numFmtId="0" fontId="5" fillId="0" borderId="3" xfId="0" applyFont="1" applyBorder="1" applyAlignment="1">
      <alignment horizontal="center"/>
    </xf>
    <xf numFmtId="0" fontId="0" fillId="0" borderId="3" xfId="0" applyBorder="1"/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14" customWidth="1"/>
    <col min="2" max="2" width="36" customWidth="1"/>
    <col min="3" max="4" width="16" customWidth="1"/>
    <col min="5" max="6" width="18" customWidth="1"/>
    <col min="7" max="7" width="22" customWidth="1"/>
    <col min="8" max="8" width="24" customWidth="1"/>
    <col min="9" max="10" width="22" customWidth="1"/>
    <col min="11" max="11" width="18" customWidth="1"/>
  </cols>
  <sheetData>
    <row r="1" spans="1:11" ht="24.95" customHeight="1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8" customHeight="1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4" spans="1:11" ht="27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20.100000000000001" customHeight="1">
      <c r="A5" s="2">
        <v>1</v>
      </c>
      <c r="B5" s="3" t="s">
        <v>13</v>
      </c>
      <c r="C5" s="2" t="s">
        <v>14</v>
      </c>
      <c r="D5" s="4">
        <v>5034000</v>
      </c>
      <c r="E5" s="2">
        <v>14</v>
      </c>
      <c r="F5" s="2">
        <v>6</v>
      </c>
      <c r="G5" s="2">
        <v>7</v>
      </c>
      <c r="H5" s="2">
        <v>2</v>
      </c>
      <c r="I5" s="2">
        <v>13</v>
      </c>
      <c r="J5" s="2">
        <v>5</v>
      </c>
      <c r="K5" s="5">
        <f>AVERAGE(E5:J5)</f>
        <v>7.833333333333333</v>
      </c>
    </row>
    <row r="6" spans="1:11" ht="20.100000000000001" customHeight="1">
      <c r="A6" s="6">
        <v>2</v>
      </c>
      <c r="B6" s="7" t="s">
        <v>15</v>
      </c>
      <c r="C6" s="6" t="s">
        <v>16</v>
      </c>
      <c r="D6" s="8">
        <v>6466000</v>
      </c>
      <c r="E6" s="6">
        <v>19</v>
      </c>
      <c r="F6" s="6">
        <v>3</v>
      </c>
      <c r="G6" s="6">
        <v>23</v>
      </c>
      <c r="H6" s="6">
        <v>1</v>
      </c>
      <c r="I6" s="6">
        <v>6</v>
      </c>
      <c r="J6" s="6">
        <v>6</v>
      </c>
      <c r="K6" s="9">
        <f>AVERAGE(E6:J6)</f>
        <v>9.6666666666666661</v>
      </c>
    </row>
    <row r="7" spans="1:11" ht="20.100000000000001" customHeight="1">
      <c r="A7" s="2">
        <v>3</v>
      </c>
      <c r="B7" s="3" t="s">
        <v>17</v>
      </c>
      <c r="C7" s="2" t="s">
        <v>18</v>
      </c>
      <c r="D7" s="4">
        <v>228000</v>
      </c>
      <c r="E7" s="2">
        <v>1</v>
      </c>
      <c r="F7" s="2">
        <v>11</v>
      </c>
      <c r="G7" s="2">
        <v>3</v>
      </c>
      <c r="H7" s="2">
        <v>19</v>
      </c>
      <c r="I7" s="2">
        <v>11</v>
      </c>
      <c r="J7" s="2">
        <v>2</v>
      </c>
      <c r="K7" s="5">
        <f>AVERAGE(E7:J7)</f>
        <v>7.833333333333333</v>
      </c>
    </row>
    <row r="8" spans="1:11" ht="20.100000000000001" customHeight="1">
      <c r="A8" s="6">
        <v>4</v>
      </c>
      <c r="B8" s="7" t="s">
        <v>19</v>
      </c>
      <c r="C8" s="6" t="s">
        <v>20</v>
      </c>
      <c r="D8" s="8">
        <v>1984000</v>
      </c>
      <c r="E8" s="6">
        <v>16</v>
      </c>
      <c r="F8" s="6">
        <v>1</v>
      </c>
      <c r="G8" s="6">
        <v>13</v>
      </c>
      <c r="H8" s="6">
        <v>7</v>
      </c>
      <c r="I8" s="6">
        <v>3</v>
      </c>
      <c r="J8" s="6">
        <v>24</v>
      </c>
      <c r="K8" s="9">
        <f>AVERAGE(E8:J8)</f>
        <v>10.666666666666666</v>
      </c>
    </row>
    <row r="9" spans="1:11" ht="20.100000000000001" customHeight="1">
      <c r="A9" s="2">
        <v>5</v>
      </c>
      <c r="B9" s="3" t="s">
        <v>21</v>
      </c>
      <c r="C9" s="2" t="s">
        <v>20</v>
      </c>
      <c r="D9" s="4">
        <v>4630000</v>
      </c>
      <c r="E9" s="2">
        <v>21</v>
      </c>
      <c r="F9" s="2">
        <v>4</v>
      </c>
      <c r="G9" s="2">
        <v>4</v>
      </c>
      <c r="H9" s="2">
        <v>9</v>
      </c>
      <c r="I9" s="2">
        <v>10</v>
      </c>
      <c r="J9" s="2">
        <v>18</v>
      </c>
      <c r="K9" s="5">
        <f>AVERAGE(E9:J9)</f>
        <v>11</v>
      </c>
    </row>
    <row r="10" spans="1:11" ht="20.100000000000001" customHeight="1">
      <c r="A10" s="6">
        <v>6</v>
      </c>
      <c r="B10" s="7" t="s">
        <v>22</v>
      </c>
      <c r="C10" s="6" t="s">
        <v>23</v>
      </c>
      <c r="D10" s="8">
        <v>710000</v>
      </c>
      <c r="E10" s="6">
        <v>2</v>
      </c>
      <c r="F10" s="6">
        <v>13</v>
      </c>
      <c r="G10" s="6">
        <v>6</v>
      </c>
      <c r="H10" s="6">
        <v>14</v>
      </c>
      <c r="I10" s="6">
        <v>14</v>
      </c>
      <c r="J10" s="6">
        <v>8</v>
      </c>
      <c r="K10" s="9">
        <f>AVERAGE(E10:J10)</f>
        <v>9.5</v>
      </c>
    </row>
    <row r="11" spans="1:11" ht="20.100000000000001" customHeight="1">
      <c r="A11" s="2">
        <v>7</v>
      </c>
      <c r="B11" s="3" t="s">
        <v>24</v>
      </c>
      <c r="C11" s="2" t="s">
        <v>25</v>
      </c>
      <c r="D11" s="4">
        <v>231000</v>
      </c>
      <c r="E11" s="2">
        <v>8</v>
      </c>
      <c r="F11" s="2">
        <v>9</v>
      </c>
      <c r="G11" s="2">
        <v>10</v>
      </c>
      <c r="H11" s="2">
        <v>22</v>
      </c>
      <c r="I11" s="2">
        <v>25</v>
      </c>
      <c r="J11" s="2">
        <v>1</v>
      </c>
      <c r="K11" s="5">
        <f>AVERAGE(E11:J11)</f>
        <v>12.5</v>
      </c>
    </row>
    <row r="12" spans="1:11" ht="20.100000000000001" customHeight="1">
      <c r="A12" s="6">
        <v>8</v>
      </c>
      <c r="B12" s="7" t="s">
        <v>26</v>
      </c>
      <c r="C12" s="6" t="s">
        <v>27</v>
      </c>
      <c r="D12" s="8">
        <v>4162000</v>
      </c>
      <c r="E12" s="6">
        <v>23</v>
      </c>
      <c r="F12" s="6">
        <v>2</v>
      </c>
      <c r="G12" s="6">
        <v>18</v>
      </c>
      <c r="H12" s="6">
        <v>13</v>
      </c>
      <c r="I12" s="6">
        <v>22</v>
      </c>
      <c r="J12" s="6">
        <v>21</v>
      </c>
      <c r="K12" s="9">
        <f>AVERAGE(E12:J12)</f>
        <v>16.5</v>
      </c>
    </row>
    <row r="13" spans="1:11" ht="20.100000000000001" customHeight="1">
      <c r="A13" s="2">
        <v>9</v>
      </c>
      <c r="B13" s="3" t="s">
        <v>28</v>
      </c>
      <c r="C13" s="2" t="s">
        <v>29</v>
      </c>
      <c r="D13" s="4">
        <v>2621000</v>
      </c>
      <c r="E13" s="2">
        <v>11</v>
      </c>
      <c r="F13" s="2">
        <v>5</v>
      </c>
      <c r="G13" s="2">
        <v>25</v>
      </c>
      <c r="H13" s="2">
        <v>11</v>
      </c>
      <c r="I13" s="2">
        <v>7</v>
      </c>
      <c r="J13" s="2">
        <v>25</v>
      </c>
      <c r="K13" s="5">
        <f>AVERAGE(E13:J13)</f>
        <v>14</v>
      </c>
    </row>
    <row r="14" spans="1:11" ht="20.100000000000001" customHeight="1">
      <c r="A14" s="6">
        <v>10</v>
      </c>
      <c r="B14" s="7" t="s">
        <v>30</v>
      </c>
      <c r="C14" s="6" t="s">
        <v>31</v>
      </c>
      <c r="D14" s="8">
        <v>229000</v>
      </c>
      <c r="E14" s="6">
        <v>6</v>
      </c>
      <c r="F14" s="6">
        <v>25</v>
      </c>
      <c r="G14" s="6">
        <v>1</v>
      </c>
      <c r="H14" s="6">
        <v>18</v>
      </c>
      <c r="I14" s="6">
        <v>16</v>
      </c>
      <c r="J14" s="6">
        <v>12</v>
      </c>
      <c r="K14" s="9">
        <f>AVERAGE(E14:J14)</f>
        <v>13</v>
      </c>
    </row>
    <row r="15" spans="1:11" ht="20.100000000000001" customHeight="1">
      <c r="A15" s="2">
        <v>11</v>
      </c>
      <c r="B15" s="3" t="s">
        <v>32</v>
      </c>
      <c r="C15" s="2" t="s">
        <v>33</v>
      </c>
      <c r="D15" s="4">
        <v>270000</v>
      </c>
      <c r="E15" s="2">
        <v>4</v>
      </c>
      <c r="F15" s="2">
        <v>18</v>
      </c>
      <c r="G15" s="2">
        <v>19</v>
      </c>
      <c r="H15" s="2">
        <v>16</v>
      </c>
      <c r="I15" s="2">
        <v>2</v>
      </c>
      <c r="J15" s="2">
        <v>22</v>
      </c>
      <c r="K15" s="5">
        <f>AVERAGE(E15:J15)</f>
        <v>13.5</v>
      </c>
    </row>
    <row r="16" spans="1:11" ht="20.100000000000001" customHeight="1">
      <c r="A16" s="6">
        <v>12</v>
      </c>
      <c r="B16" s="7" t="s">
        <v>34</v>
      </c>
      <c r="C16" s="6" t="s">
        <v>35</v>
      </c>
      <c r="D16" s="8">
        <v>1010000</v>
      </c>
      <c r="E16" s="6">
        <v>9</v>
      </c>
      <c r="F16" s="6">
        <v>21</v>
      </c>
      <c r="G16" s="6">
        <v>17</v>
      </c>
      <c r="H16" s="6">
        <v>8</v>
      </c>
      <c r="I16" s="6">
        <v>12</v>
      </c>
      <c r="J16" s="6">
        <v>16</v>
      </c>
      <c r="K16" s="9">
        <f>AVERAGE(E16:J16)</f>
        <v>13.833333333333334</v>
      </c>
    </row>
    <row r="17" spans="1:11" ht="20.100000000000001" customHeight="1">
      <c r="A17" s="2">
        <v>13</v>
      </c>
      <c r="B17" s="3" t="s">
        <v>36</v>
      </c>
      <c r="C17" s="2" t="s">
        <v>37</v>
      </c>
      <c r="D17" s="4">
        <v>916000</v>
      </c>
      <c r="E17" s="2">
        <v>15</v>
      </c>
      <c r="F17" s="2">
        <v>14</v>
      </c>
      <c r="G17" s="2">
        <v>12</v>
      </c>
      <c r="H17" s="2">
        <v>20</v>
      </c>
      <c r="I17" s="2">
        <v>23</v>
      </c>
      <c r="J17" s="2">
        <v>3</v>
      </c>
      <c r="K17" s="5">
        <f>AVERAGE(E17:J17)</f>
        <v>14.5</v>
      </c>
    </row>
    <row r="18" spans="1:11" ht="20.100000000000001" customHeight="1">
      <c r="A18" s="6">
        <v>14</v>
      </c>
      <c r="B18" s="7" t="s">
        <v>38</v>
      </c>
      <c r="C18" s="6" t="s">
        <v>39</v>
      </c>
      <c r="D18" s="8">
        <v>279000</v>
      </c>
      <c r="E18" s="6">
        <v>7</v>
      </c>
      <c r="F18" s="6">
        <v>17</v>
      </c>
      <c r="G18" s="6">
        <v>21</v>
      </c>
      <c r="H18" s="6">
        <v>21</v>
      </c>
      <c r="I18" s="6">
        <v>9</v>
      </c>
      <c r="J18" s="6">
        <v>11</v>
      </c>
      <c r="K18" s="9">
        <f>AVERAGE(E18:J18)</f>
        <v>14.333333333333334</v>
      </c>
    </row>
    <row r="19" spans="1:11" ht="20.100000000000001" customHeight="1">
      <c r="A19" s="2">
        <v>15</v>
      </c>
      <c r="B19" s="3" t="s">
        <v>40</v>
      </c>
      <c r="C19" s="2" t="s">
        <v>41</v>
      </c>
      <c r="D19" s="4">
        <v>379000</v>
      </c>
      <c r="E19" s="2">
        <v>13</v>
      </c>
      <c r="F19" s="2">
        <v>19</v>
      </c>
      <c r="G19" s="2">
        <v>15</v>
      </c>
      <c r="H19" s="2">
        <v>17</v>
      </c>
      <c r="I19" s="2">
        <v>15</v>
      </c>
      <c r="J19" s="2">
        <v>10</v>
      </c>
      <c r="K19" s="5">
        <f>AVERAGE(E19:J19)</f>
        <v>14.833333333333334</v>
      </c>
    </row>
    <row r="20" spans="1:11" ht="20.100000000000001" customHeight="1">
      <c r="A20" s="6">
        <v>16</v>
      </c>
      <c r="B20" s="7" t="s">
        <v>42</v>
      </c>
      <c r="C20" s="6" t="s">
        <v>43</v>
      </c>
      <c r="D20" s="8">
        <v>370000</v>
      </c>
      <c r="E20" s="6">
        <v>25</v>
      </c>
      <c r="F20" s="6">
        <v>23</v>
      </c>
      <c r="G20" s="6">
        <v>2</v>
      </c>
      <c r="H20" s="6">
        <v>3</v>
      </c>
      <c r="I20" s="6">
        <v>5</v>
      </c>
      <c r="J20" s="6">
        <v>23</v>
      </c>
      <c r="K20" s="9">
        <f>AVERAGE(E20:J20)</f>
        <v>13.5</v>
      </c>
    </row>
    <row r="21" spans="1:11" ht="20.100000000000001" customHeight="1">
      <c r="A21" s="2">
        <v>17</v>
      </c>
      <c r="B21" s="3" t="s">
        <v>44</v>
      </c>
      <c r="C21" s="2" t="s">
        <v>45</v>
      </c>
      <c r="D21" s="4">
        <v>3092000</v>
      </c>
      <c r="E21" s="2">
        <v>17</v>
      </c>
      <c r="F21" s="2">
        <v>8</v>
      </c>
      <c r="G21" s="2">
        <v>24</v>
      </c>
      <c r="H21" s="2">
        <v>5</v>
      </c>
      <c r="I21" s="2">
        <v>8</v>
      </c>
      <c r="J21" s="2">
        <v>15</v>
      </c>
      <c r="K21" s="5">
        <f>AVERAGE(E21:J21)</f>
        <v>12.833333333333334</v>
      </c>
    </row>
    <row r="22" spans="1:11" ht="20.100000000000001" customHeight="1">
      <c r="A22" s="6">
        <v>18</v>
      </c>
      <c r="B22" s="7" t="s">
        <v>46</v>
      </c>
      <c r="C22" s="6" t="s">
        <v>47</v>
      </c>
      <c r="D22" s="8">
        <v>989000</v>
      </c>
      <c r="E22" s="6">
        <v>10</v>
      </c>
      <c r="F22" s="6">
        <v>24</v>
      </c>
      <c r="G22" s="6">
        <v>5</v>
      </c>
      <c r="H22" s="6">
        <v>12</v>
      </c>
      <c r="I22" s="6">
        <v>20</v>
      </c>
      <c r="J22" s="6">
        <v>9</v>
      </c>
      <c r="K22" s="9">
        <f>AVERAGE(E22:J22)</f>
        <v>13.333333333333334</v>
      </c>
    </row>
    <row r="23" spans="1:11" ht="20.100000000000001" customHeight="1">
      <c r="A23" s="2">
        <v>19</v>
      </c>
      <c r="B23" s="3" t="s">
        <v>48</v>
      </c>
      <c r="C23" s="2" t="s">
        <v>45</v>
      </c>
      <c r="D23" s="4">
        <v>329000</v>
      </c>
      <c r="E23" s="2">
        <v>22</v>
      </c>
      <c r="F23" s="2">
        <v>7</v>
      </c>
      <c r="G23" s="2">
        <v>8</v>
      </c>
      <c r="H23" s="2">
        <v>23</v>
      </c>
      <c r="I23" s="2">
        <v>1</v>
      </c>
      <c r="J23" s="2">
        <v>20</v>
      </c>
      <c r="K23" s="5">
        <f>AVERAGE(E23:J23)</f>
        <v>13.5</v>
      </c>
    </row>
    <row r="24" spans="1:11" ht="20.100000000000001" customHeight="1">
      <c r="A24" s="6">
        <v>20</v>
      </c>
      <c r="B24" s="7" t="s">
        <v>49</v>
      </c>
      <c r="C24" s="6" t="s">
        <v>37</v>
      </c>
      <c r="D24" s="8">
        <v>652000</v>
      </c>
      <c r="E24" s="6">
        <v>18</v>
      </c>
      <c r="F24" s="6">
        <v>22</v>
      </c>
      <c r="G24" s="6">
        <v>9</v>
      </c>
      <c r="H24" s="6">
        <v>10</v>
      </c>
      <c r="I24" s="6">
        <v>19</v>
      </c>
      <c r="J24" s="6">
        <v>7</v>
      </c>
      <c r="K24" s="9">
        <f>AVERAGE(E24:J24)</f>
        <v>14.166666666666666</v>
      </c>
    </row>
    <row r="25" spans="1:11" ht="20.100000000000001" customHeight="1">
      <c r="A25" s="2">
        <v>21</v>
      </c>
      <c r="B25" s="3" t="s">
        <v>50</v>
      </c>
      <c r="C25" s="2" t="s">
        <v>51</v>
      </c>
      <c r="D25" s="4">
        <v>2858000</v>
      </c>
      <c r="E25" s="2">
        <v>24</v>
      </c>
      <c r="F25" s="2">
        <v>16</v>
      </c>
      <c r="G25" s="2">
        <v>20</v>
      </c>
      <c r="H25" s="2">
        <v>4</v>
      </c>
      <c r="I25" s="2">
        <v>18</v>
      </c>
      <c r="J25" s="2">
        <v>4</v>
      </c>
      <c r="K25" s="5">
        <f>AVERAGE(E25:J25)</f>
        <v>14.333333333333334</v>
      </c>
    </row>
    <row r="26" spans="1:11" ht="20.100000000000001" customHeight="1">
      <c r="A26" s="6">
        <v>22</v>
      </c>
      <c r="B26" s="7" t="s">
        <v>52</v>
      </c>
      <c r="C26" s="6" t="s">
        <v>53</v>
      </c>
      <c r="D26" s="8">
        <v>625000</v>
      </c>
      <c r="E26" s="6">
        <v>20</v>
      </c>
      <c r="F26" s="6">
        <v>12</v>
      </c>
      <c r="G26" s="6">
        <v>14</v>
      </c>
      <c r="H26" s="6">
        <v>15</v>
      </c>
      <c r="I26" s="6">
        <v>17</v>
      </c>
      <c r="J26" s="6">
        <v>14</v>
      </c>
      <c r="K26" s="9">
        <f>AVERAGE(E26:J26)</f>
        <v>15.333333333333334</v>
      </c>
    </row>
    <row r="27" spans="1:11" ht="20.100000000000001" customHeight="1">
      <c r="A27" s="2">
        <v>23</v>
      </c>
      <c r="B27" s="3" t="s">
        <v>54</v>
      </c>
      <c r="C27" s="2" t="s">
        <v>55</v>
      </c>
      <c r="D27" s="4">
        <v>433000</v>
      </c>
      <c r="E27" s="2">
        <v>5</v>
      </c>
      <c r="F27" s="2">
        <v>10</v>
      </c>
      <c r="G27" s="2">
        <v>16</v>
      </c>
      <c r="H27" s="2">
        <v>24</v>
      </c>
      <c r="I27" s="2">
        <v>24</v>
      </c>
      <c r="J27" s="2">
        <v>13</v>
      </c>
      <c r="K27" s="5">
        <f>AVERAGE(E27:J27)</f>
        <v>15.333333333333334</v>
      </c>
    </row>
    <row r="28" spans="1:11" ht="20.100000000000001" customHeight="1">
      <c r="A28" s="6">
        <v>24</v>
      </c>
      <c r="B28" s="7" t="s">
        <v>56</v>
      </c>
      <c r="C28" s="6" t="s">
        <v>57</v>
      </c>
      <c r="D28" s="8">
        <v>2242000</v>
      </c>
      <c r="E28" s="6">
        <v>12</v>
      </c>
      <c r="F28" s="6">
        <v>15</v>
      </c>
      <c r="G28" s="6">
        <v>22</v>
      </c>
      <c r="H28" s="6">
        <v>6</v>
      </c>
      <c r="I28" s="6">
        <v>21</v>
      </c>
      <c r="J28" s="6">
        <v>17</v>
      </c>
      <c r="K28" s="9">
        <f>AVERAGE(E28:J28)</f>
        <v>15.5</v>
      </c>
    </row>
    <row r="29" spans="1:11" ht="20.100000000000001" customHeight="1">
      <c r="A29" s="2">
        <v>25</v>
      </c>
      <c r="B29" s="3" t="s">
        <v>58</v>
      </c>
      <c r="C29" s="2" t="s">
        <v>59</v>
      </c>
      <c r="D29" s="4">
        <v>315000</v>
      </c>
      <c r="E29" s="2">
        <v>3</v>
      </c>
      <c r="F29" s="2">
        <v>20</v>
      </c>
      <c r="G29" s="2">
        <v>11</v>
      </c>
      <c r="H29" s="2">
        <v>25</v>
      </c>
      <c r="I29" s="2">
        <v>4</v>
      </c>
      <c r="J29" s="2">
        <v>19</v>
      </c>
      <c r="K29" s="5">
        <f>AVERAGE(E29:J29)</f>
        <v>13.666666666666666</v>
      </c>
    </row>
    <row r="30" spans="1:11" ht="21.95" customHeight="1">
      <c r="A30" s="25" t="s">
        <v>60</v>
      </c>
      <c r="B30" s="26"/>
      <c r="C30" s="26"/>
      <c r="D30" s="10">
        <f>AVERAGE(D5:D29)</f>
        <v>1642160</v>
      </c>
      <c r="E30" s="11">
        <f>AVERAGE(E5:E29)</f>
        <v>13</v>
      </c>
      <c r="F30" s="11">
        <f>AVERAGE(F5:F29)</f>
        <v>13</v>
      </c>
      <c r="G30" s="11">
        <f>AVERAGE(G5:G29)</f>
        <v>13</v>
      </c>
      <c r="H30" s="11">
        <f>AVERAGE(H5:H29)</f>
        <v>13</v>
      </c>
      <c r="I30" s="11">
        <f>AVERAGE(I5:I29)</f>
        <v>13</v>
      </c>
      <c r="J30" s="11">
        <f>AVERAGE(J5:J29)</f>
        <v>13</v>
      </c>
      <c r="K30" s="11">
        <f>AVERAGE(K5:K29)</f>
        <v>13</v>
      </c>
    </row>
  </sheetData>
  <mergeCells count="3">
    <mergeCell ref="A2:K2"/>
    <mergeCell ref="A1:K1"/>
    <mergeCell ref="A30:C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2" width="16" customWidth="1"/>
    <col min="3" max="3" width="22" customWidth="1"/>
    <col min="4" max="4" width="48" customWidth="1"/>
    <col min="5" max="5" width="40" customWidth="1"/>
  </cols>
  <sheetData>
    <row r="1" spans="1:5" ht="24.95" customHeight="1">
      <c r="A1" s="24" t="s">
        <v>61</v>
      </c>
      <c r="B1" s="23"/>
      <c r="C1" s="23"/>
      <c r="D1" s="23"/>
      <c r="E1" s="23"/>
    </row>
    <row r="3" spans="1:5" ht="21.95" customHeight="1">
      <c r="A3" s="12" t="s">
        <v>62</v>
      </c>
      <c r="B3" s="12" t="s">
        <v>63</v>
      </c>
      <c r="C3" s="12" t="s">
        <v>64</v>
      </c>
      <c r="D3" s="12" t="s">
        <v>65</v>
      </c>
      <c r="E3" s="12" t="s">
        <v>66</v>
      </c>
    </row>
    <row r="4" spans="1:5" ht="24" customHeight="1">
      <c r="A4" s="13" t="s">
        <v>67</v>
      </c>
      <c r="B4" s="14">
        <v>0.2</v>
      </c>
      <c r="C4" s="15">
        <v>3</v>
      </c>
      <c r="D4" s="13" t="s">
        <v>68</v>
      </c>
      <c r="E4" s="13" t="s">
        <v>69</v>
      </c>
    </row>
    <row r="5" spans="1:5" ht="24" customHeight="1">
      <c r="A5" s="13" t="s">
        <v>70</v>
      </c>
      <c r="B5" s="14">
        <v>0.2</v>
      </c>
      <c r="C5" s="15">
        <v>4</v>
      </c>
      <c r="D5" s="13" t="s">
        <v>71</v>
      </c>
      <c r="E5" s="13" t="s">
        <v>72</v>
      </c>
    </row>
    <row r="6" spans="1:5" ht="24" customHeight="1">
      <c r="A6" s="13" t="s">
        <v>73</v>
      </c>
      <c r="B6" s="14">
        <v>0.15</v>
      </c>
      <c r="C6" s="15">
        <v>7</v>
      </c>
      <c r="D6" s="13" t="s">
        <v>74</v>
      </c>
      <c r="E6" s="13" t="s">
        <v>75</v>
      </c>
    </row>
    <row r="7" spans="1:5" ht="24" customHeight="1">
      <c r="A7" s="13" t="s">
        <v>76</v>
      </c>
      <c r="B7" s="14">
        <v>0.15</v>
      </c>
      <c r="C7" s="15">
        <v>10</v>
      </c>
      <c r="D7" s="13" t="s">
        <v>77</v>
      </c>
      <c r="E7" s="13" t="s">
        <v>78</v>
      </c>
    </row>
    <row r="8" spans="1:5" ht="24" customHeight="1">
      <c r="A8" s="13" t="s">
        <v>79</v>
      </c>
      <c r="B8" s="14">
        <v>0.15</v>
      </c>
      <c r="C8" s="15">
        <v>11</v>
      </c>
      <c r="D8" s="13" t="s">
        <v>80</v>
      </c>
      <c r="E8" s="13" t="s">
        <v>81</v>
      </c>
    </row>
    <row r="9" spans="1:5" ht="24" customHeight="1">
      <c r="A9" s="13" t="s">
        <v>82</v>
      </c>
      <c r="B9" s="14">
        <v>0.15</v>
      </c>
      <c r="C9" s="15">
        <v>5</v>
      </c>
      <c r="D9" s="13" t="s">
        <v>83</v>
      </c>
      <c r="E9" s="13" t="s">
        <v>84</v>
      </c>
    </row>
    <row r="10" spans="1:5">
      <c r="A10" s="16" t="s">
        <v>85</v>
      </c>
      <c r="B10" s="17">
        <f>SUM(B4:B9)</f>
        <v>1</v>
      </c>
      <c r="C10" s="18">
        <f>SUM(C4:C9)</f>
        <v>40</v>
      </c>
      <c r="D10" s="19"/>
      <c r="E10" s="19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2" width="42" customWidth="1"/>
    <col min="3" max="3" width="32" customWidth="1"/>
    <col min="4" max="4" width="42" customWidth="1"/>
  </cols>
  <sheetData>
    <row r="1" spans="1:4" ht="24.95" customHeight="1">
      <c r="A1" s="24" t="s">
        <v>86</v>
      </c>
      <c r="B1" s="23"/>
      <c r="C1" s="23"/>
      <c r="D1" s="23"/>
    </row>
    <row r="3" spans="1:4" ht="21.95" customHeight="1">
      <c r="A3" s="12" t="s">
        <v>87</v>
      </c>
      <c r="B3" s="12" t="s">
        <v>88</v>
      </c>
      <c r="C3" s="12" t="s">
        <v>89</v>
      </c>
      <c r="D3" s="12" t="s">
        <v>90</v>
      </c>
    </row>
    <row r="4" spans="1:4" ht="26.1" customHeight="1">
      <c r="A4" s="20" t="s">
        <v>91</v>
      </c>
      <c r="B4" s="21" t="s">
        <v>92</v>
      </c>
      <c r="C4" s="21" t="s">
        <v>93</v>
      </c>
      <c r="D4" s="21" t="s">
        <v>94</v>
      </c>
    </row>
    <row r="5" spans="1:4" ht="26.1" customHeight="1">
      <c r="A5" s="20" t="s">
        <v>95</v>
      </c>
      <c r="B5" s="21" t="s">
        <v>96</v>
      </c>
      <c r="C5" s="21" t="s">
        <v>97</v>
      </c>
      <c r="D5" s="21" t="s">
        <v>98</v>
      </c>
    </row>
    <row r="6" spans="1:4" ht="26.1" customHeight="1">
      <c r="A6" s="20" t="s">
        <v>99</v>
      </c>
      <c r="B6" s="21" t="s">
        <v>100</v>
      </c>
      <c r="C6" s="21" t="s">
        <v>101</v>
      </c>
      <c r="D6" s="21" t="s">
        <v>102</v>
      </c>
    </row>
    <row r="7" spans="1:4" ht="26.1" customHeight="1">
      <c r="A7" s="20" t="s">
        <v>103</v>
      </c>
      <c r="B7" s="21" t="s">
        <v>104</v>
      </c>
      <c r="C7" s="21" t="s">
        <v>105</v>
      </c>
      <c r="D7" s="21" t="s">
        <v>106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Hutton, Callie</cp:lastModifiedBy>
  <cp:revision/>
  <dcterms:created xsi:type="dcterms:W3CDTF">2026-09-28T19:44:59Z</dcterms:created>
  <dcterms:modified xsi:type="dcterms:W3CDTF">2026-10-14T20:16:53Z</dcterms:modified>
  <cp:category/>
  <cp:contentStatus/>
</cp:coreProperties>
</file>